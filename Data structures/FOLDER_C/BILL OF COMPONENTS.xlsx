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ocuments\SIDE QUEST\"/>
    </mc:Choice>
  </mc:AlternateContent>
  <xr:revisionPtr revIDLastSave="0" documentId="13_ncr:1_{AC939701-727A-4AB2-B462-DBA1C7ADFD4E}" xr6:coauthVersionLast="47" xr6:coauthVersionMax="47" xr10:uidLastSave="{00000000-0000-0000-0000-000000000000}"/>
  <bookViews>
    <workbookView xWindow="-108" yWindow="-108" windowWidth="23256" windowHeight="13176" xr2:uid="{A31B3E9B-9687-4305-ADB0-CC700FABBD4D}"/>
  </bookViews>
  <sheets>
    <sheet name="Bill of compon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1" l="1"/>
  <c r="C9" i="1"/>
  <c r="C15" i="1"/>
  <c r="C13" i="1"/>
  <c r="C10" i="1"/>
  <c r="C6" i="1"/>
  <c r="C19" i="1" s="1"/>
</calcChain>
</file>

<file path=xl/sharedStrings.xml><?xml version="1.0" encoding="utf-8"?>
<sst xmlns="http://schemas.openxmlformats.org/spreadsheetml/2006/main" count="63" uniqueCount="40">
  <si>
    <t>Components</t>
  </si>
  <si>
    <t>Quantity</t>
  </si>
  <si>
    <t>Cost</t>
  </si>
  <si>
    <t>LCD I2C board</t>
  </si>
  <si>
    <t>ESP32</t>
  </si>
  <si>
    <t>Capacitive soil moisture sensor</t>
  </si>
  <si>
    <t>ON/OFF Latch switch</t>
  </si>
  <si>
    <t>Solonoid valve sensor</t>
  </si>
  <si>
    <t>Water flow sensor</t>
  </si>
  <si>
    <t>Relay</t>
  </si>
  <si>
    <t>E-STOP latch switch / RESET latch</t>
  </si>
  <si>
    <t>Resistors</t>
  </si>
  <si>
    <t>M/F connector wires</t>
  </si>
  <si>
    <t>tube (5m)</t>
  </si>
  <si>
    <t>Supplier</t>
  </si>
  <si>
    <t>Stock code</t>
  </si>
  <si>
    <t>Store URL</t>
  </si>
  <si>
    <t>Click here</t>
  </si>
  <si>
    <t>BMT 20X4 I2C SERIAL LCD</t>
  </si>
  <si>
    <t>Communica</t>
  </si>
  <si>
    <t>B0H7X6WSH2</t>
  </si>
  <si>
    <t>Amazon SA</t>
  </si>
  <si>
    <t>HKD G1/2IN</t>
  </si>
  <si>
    <t>MT G1/2IN</t>
  </si>
  <si>
    <t>LC2107KDET2B</t>
  </si>
  <si>
    <t>Builders</t>
  </si>
  <si>
    <t>B09NRZBPJ3</t>
  </si>
  <si>
    <t>Agrigaurd Bill of components</t>
  </si>
  <si>
    <t>Total</t>
  </si>
  <si>
    <t>Mf 1/4w 1% e12 res kit</t>
  </si>
  <si>
    <t>BMT RIBBON JUMPER 40W M/F 30cm</t>
  </si>
  <si>
    <t xml:space="preserve">  Sonoff ms01</t>
  </si>
  <si>
    <t>Bmt esp32-s3 n16r8 ai dev module</t>
  </si>
  <si>
    <t>9MUDISTSENW</t>
  </si>
  <si>
    <t>DIYelectronics</t>
  </si>
  <si>
    <t>Ultrasonic Waterproof  Sensor</t>
  </si>
  <si>
    <t>BATT 12,8V8 COM</t>
  </si>
  <si>
    <t>BDD RELAY BOARD 4CH 5V</t>
  </si>
  <si>
    <t>Fillament(3D renderings)</t>
  </si>
  <si>
    <t>12V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</si>
</sst>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2" fillId="0" borderId="10" xfId="1" applyBorder="1"/>
    <xf numFmtId="0" fontId="0" fillId="0" borderId="11" xfId="0" applyBorder="1"/>
    <xf numFmtId="0" fontId="2" fillId="0" borderId="12" xfId="1" applyBorder="1"/>
    <xf numFmtId="0" fontId="0" fillId="0" borderId="13" xfId="0" applyBorder="1"/>
    <xf numFmtId="0" fontId="0" fillId="0" borderId="14" xfId="0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3" borderId="8" xfId="0" applyFont="1" applyFill="1" applyBorder="1"/>
    <xf numFmtId="0" fontId="0" fillId="0" borderId="17" xfId="0" applyBorder="1"/>
    <xf numFmtId="0" fontId="0" fillId="0" borderId="18" xfId="0" applyBorder="1"/>
    <xf numFmtId="0" fontId="2" fillId="0" borderId="19" xfId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8" xfId="0" applyNumberFormat="1" applyBorder="1"/>
    <xf numFmtId="49" fontId="0" fillId="0" borderId="11" xfId="0" applyNumberFormat="1" applyBorder="1"/>
    <xf numFmtId="0" fontId="4" fillId="0" borderId="13" xfId="0" applyFont="1" applyBorder="1"/>
    <xf numFmtId="164" fontId="4" fillId="0" borderId="13" xfId="0" applyNumberFormat="1" applyFont="1" applyBorder="1"/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F370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unica.co.za/products/bmt-g1-2in-water-flow-sensor?variant=31667842318409" TargetMode="External"/><Relationship Id="rId13" Type="http://schemas.openxmlformats.org/officeDocument/2006/relationships/hyperlink" Target="https://www.amazon.co.za/Creality-CR-PETG-RED-Filament-Diameter/dp/B09NRZBPJ3/ref=sr_1_4?adgrpid=168213981055&amp;dib=eyJ2IjoiMSJ9.ciBfxuLTJYXXFF8SCLQgeQ2MSso0T06ttvZzo2ZBAvQepFnDr7YgQZfI9RbGuQ9s3S4nF0Sx79BBeVSKwzT-XLRJWlj3TIG746Zi5nG_DS9mhISswNAPGkt4aJZdiNIJ20AoE_DTwA_eyzvhb07P7qoAT9yiJJgD2MDrpM7LokRLWcDJwzFvQXgQMhj_T9F1w-Sd_kWB6znon3rU9-VtJlXHt5OyLOw3fdcbueU4c6VX3tLzV-OZ0edJoM32U-7klK2YkoQGYnvpPExZcrLZri_WRAGzcqwKC1DWsiSDouo.LQMG9_XZ-H1W12raTHhY_OGjIIpgC9TMTVEvXxhkwNo&amp;dib_tag=se&amp;gad_source=1&amp;hvadid=714685829034&amp;hvdev=c&amp;hvlocphy=9238763&amp;hvnetw=g&amp;hvqmt=e&amp;hvrand=3718606418677850654&amp;hvtargid=kwd-33058336876&amp;hydadcr=13109_2420735&amp;keywords=3d+printer+filament&amp;mcid=f8bb88d9a22836bc80680296c4eafec2&amp;qid=1788829654&amp;sr=8-4" TargetMode="External"/><Relationship Id="rId3" Type="http://schemas.openxmlformats.org/officeDocument/2006/relationships/hyperlink" Target="https://www.communica.co.za/products/bmt-20x4-i2c-serial-lcd?variant=31901318578249" TargetMode="External"/><Relationship Id="rId7" Type="http://schemas.openxmlformats.org/officeDocument/2006/relationships/hyperlink" Target="https://www.communica.co.za/products/hkd-g1-2in-water-flow-solenoid?variant=39345739595849" TargetMode="External"/><Relationship Id="rId12" Type="http://schemas.openxmlformats.org/officeDocument/2006/relationships/hyperlink" Target="https://www.builders.co.za/Fasteners-and-Adhesives/Fasteners/Plastic-Tubing/Waterhouse-PVC-Tubing-Clear-5000-x-12-mm/p/000000000000780314" TargetMode="External"/><Relationship Id="rId2" Type="http://schemas.openxmlformats.org/officeDocument/2006/relationships/hyperlink" Target="https://www.communica.co.za/products/sonoff-ms01-soil-moisture-sensor?variant=39438047248457" TargetMode="External"/><Relationship Id="rId1" Type="http://schemas.openxmlformats.org/officeDocument/2006/relationships/hyperlink" Target="https://www.communica.co.za/products/bmt-esp32-s3-n16r8-ai-dev-modul?variant=53470029775148" TargetMode="External"/><Relationship Id="rId6" Type="http://schemas.openxmlformats.org/officeDocument/2006/relationships/hyperlink" Target="https://www.communica.co.za/products/lc2107kdet2b" TargetMode="External"/><Relationship Id="rId11" Type="http://schemas.openxmlformats.org/officeDocument/2006/relationships/hyperlink" Target="https://www.communica.co.za/products/bmt-ribbon-jumper-40w-m-f-30cm?variant=52644327031084" TargetMode="External"/><Relationship Id="rId5" Type="http://schemas.openxmlformats.org/officeDocument/2006/relationships/hyperlink" Target="https://www.amazon.co.za/MTS-1-SPDT-Toggle-Switch-125VAC/dp/B0H7X6WSH2/ref=asc_df_B0H7X6WSH2?mcid=6b7e199d023e353481dcb2b7336907b9&amp;tag=zashopgode-21&amp;linkCode=df0&amp;hvadid=797717763323&amp;hvpos=&amp;hvnetw=g&amp;hvrand=9766463129899424802&amp;hvpone=&amp;hvptwo=&amp;hvqmt=&amp;hvdev=c&amp;hvdvcmdl=&amp;hvlocint=&amp;hvlocphy=9238763&amp;hvtargid=pla-2493941630550&amp;psc=1&amp;language=en_ZA&amp;gad_source=1" TargetMode="External"/><Relationship Id="rId10" Type="http://schemas.openxmlformats.org/officeDocument/2006/relationships/hyperlink" Target="https://www.communica.co.za/products/mf-1-4w-1-e12-res-kit" TargetMode="External"/><Relationship Id="rId4" Type="http://schemas.openxmlformats.org/officeDocument/2006/relationships/hyperlink" Target="https://www.diyelectronics.co.za/store/proximity/1181-ultrasonic-waterproof-distance-sensor-module.html?utm_campaign=google_shopping&amp;utm_source=cpc&amp;utm_medium=evergreen&amp;utm_content=20484314766&amp;gad_source=1&amp;gad_campaignid=20484314766&amp;gbraid=0AAAAADpm0I94DglNt-Ou3BcLQJKgL30Lg&amp;gclid=Cj0KCQjw5P7UBhDaARIsAOSlS1OC_DREcobMYctXqejwM061Y5R50Ahvg0vQVxbVk0VMIy_11XNFhaEaAhhCEALw_wcB" TargetMode="External"/><Relationship Id="rId9" Type="http://schemas.openxmlformats.org/officeDocument/2006/relationships/hyperlink" Target="https://www.communica.co.za/products/bdd-relay-board-4ch-5v?variant=53464022483244" TargetMode="External"/><Relationship Id="rId14" Type="http://schemas.openxmlformats.org/officeDocument/2006/relationships/hyperlink" Target="https://www.communica.co.za/products/batt-12-8v8-com?variant=48247078256940&amp;sfdr_ptcid=31591_617_702550575&amp;sfdr_hash=53bd8cff5d49cfe84517f7b6d1fb66dd&amp;utm_source=www.communica.co.za&amp;gad_source=1&amp;gad_campaignid=20668254388&amp;gbraid=0AAAAADLTnIbXu6FpLPpZQmUnVhddE5lyl&amp;gclid=Cj0KCQjw5P7UBhDaARIsAOSlS1Og-eR_q8yP8RhOSbxukrk9EW87IRxVggZMK8ttQ6hLUS4sdu-4loUaAn_6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69C2-CFC1-430A-BFC6-403CC765A0AD}">
  <dimension ref="A1:F20"/>
  <sheetViews>
    <sheetView tabSelected="1" topLeftCell="A2" zoomScale="132" workbookViewId="0">
      <selection activeCell="A15" sqref="A15"/>
    </sheetView>
  </sheetViews>
  <sheetFormatPr defaultRowHeight="14.4" x14ac:dyDescent="0.3"/>
  <cols>
    <col min="1" max="1" width="28.44140625" customWidth="1"/>
    <col min="3" max="3" width="14.109375" customWidth="1"/>
    <col min="4" max="4" width="13.109375" customWidth="1"/>
    <col min="5" max="5" width="33" customWidth="1"/>
    <col min="6" max="6" width="10.88671875" customWidth="1"/>
  </cols>
  <sheetData>
    <row r="1" spans="1:6" ht="15" thickBot="1" x14ac:dyDescent="0.35"/>
    <row r="2" spans="1:6" ht="15" thickTop="1" x14ac:dyDescent="0.3">
      <c r="A2" s="22" t="s">
        <v>27</v>
      </c>
      <c r="B2" s="23"/>
      <c r="C2" s="23"/>
      <c r="D2" s="23"/>
      <c r="E2" s="23"/>
      <c r="F2" s="24"/>
    </row>
    <row r="3" spans="1:6" ht="15" thickBot="1" x14ac:dyDescent="0.35">
      <c r="A3" s="25"/>
      <c r="B3" s="26"/>
      <c r="C3" s="26"/>
      <c r="D3" s="26"/>
      <c r="E3" s="26"/>
      <c r="F3" s="27"/>
    </row>
    <row r="4" spans="1:6" ht="15.6" thickTop="1" thickBot="1" x14ac:dyDescent="0.35">
      <c r="A4" s="10" t="s">
        <v>0</v>
      </c>
      <c r="B4" s="11" t="s">
        <v>1</v>
      </c>
      <c r="C4" s="11" t="s">
        <v>2</v>
      </c>
      <c r="D4" s="11" t="s">
        <v>14</v>
      </c>
      <c r="E4" s="11" t="s">
        <v>15</v>
      </c>
      <c r="F4" s="12" t="s">
        <v>16</v>
      </c>
    </row>
    <row r="5" spans="1:6" ht="15" thickTop="1" x14ac:dyDescent="0.3">
      <c r="A5" s="1" t="s">
        <v>4</v>
      </c>
      <c r="B5" s="4">
        <v>1</v>
      </c>
      <c r="C5" s="16">
        <v>220</v>
      </c>
      <c r="D5" s="4" t="s">
        <v>19</v>
      </c>
      <c r="E5" s="6" t="s">
        <v>32</v>
      </c>
      <c r="F5" s="5" t="s">
        <v>17</v>
      </c>
    </row>
    <row r="6" spans="1:6" ht="16.2" x14ac:dyDescent="0.3">
      <c r="A6" s="2" t="s">
        <v>5</v>
      </c>
      <c r="B6" s="6">
        <v>3</v>
      </c>
      <c r="C6" s="17">
        <f>220*B6</f>
        <v>660</v>
      </c>
      <c r="D6" s="6" t="s">
        <v>19</v>
      </c>
      <c r="E6" s="6" t="s">
        <v>31</v>
      </c>
      <c r="F6" s="7" t="s">
        <v>17</v>
      </c>
    </row>
    <row r="7" spans="1:6" x14ac:dyDescent="0.3">
      <c r="A7" s="2" t="s">
        <v>3</v>
      </c>
      <c r="B7" s="6">
        <v>1</v>
      </c>
      <c r="C7" s="17">
        <v>103</v>
      </c>
      <c r="D7" s="6" t="s">
        <v>19</v>
      </c>
      <c r="E7" s="6" t="s">
        <v>18</v>
      </c>
      <c r="F7" s="7" t="s">
        <v>17</v>
      </c>
    </row>
    <row r="8" spans="1:6" x14ac:dyDescent="0.3">
      <c r="A8" s="2" t="s">
        <v>35</v>
      </c>
      <c r="B8" s="6">
        <v>1</v>
      </c>
      <c r="C8" s="17">
        <v>93</v>
      </c>
      <c r="D8" s="6" t="s">
        <v>34</v>
      </c>
      <c r="E8" s="6" t="s">
        <v>33</v>
      </c>
      <c r="F8" s="7" t="s">
        <v>17</v>
      </c>
    </row>
    <row r="9" spans="1:6" x14ac:dyDescent="0.3">
      <c r="A9" s="2" t="s">
        <v>6</v>
      </c>
      <c r="B9" s="6">
        <v>2</v>
      </c>
      <c r="C9" s="17">
        <f>40*B9</f>
        <v>80</v>
      </c>
      <c r="D9" s="6" t="s">
        <v>21</v>
      </c>
      <c r="E9" s="6" t="s">
        <v>20</v>
      </c>
      <c r="F9" s="7" t="s">
        <v>17</v>
      </c>
    </row>
    <row r="10" spans="1:6" x14ac:dyDescent="0.3">
      <c r="A10" s="2" t="s">
        <v>7</v>
      </c>
      <c r="B10" s="6">
        <v>3</v>
      </c>
      <c r="C10" s="17">
        <f>B10*92</f>
        <v>276</v>
      </c>
      <c r="D10" s="6" t="s">
        <v>19</v>
      </c>
      <c r="E10" s="6" t="s">
        <v>22</v>
      </c>
      <c r="F10" s="7" t="s">
        <v>17</v>
      </c>
    </row>
    <row r="11" spans="1:6" x14ac:dyDescent="0.3">
      <c r="A11" s="2" t="s">
        <v>8</v>
      </c>
      <c r="B11" s="6">
        <v>1</v>
      </c>
      <c r="C11" s="17">
        <v>69</v>
      </c>
      <c r="D11" s="6" t="s">
        <v>19</v>
      </c>
      <c r="E11" s="6" t="s">
        <v>23</v>
      </c>
      <c r="F11" s="7" t="s">
        <v>17</v>
      </c>
    </row>
    <row r="12" spans="1:6" ht="16.2" x14ac:dyDescent="0.3">
      <c r="A12" s="2" t="s">
        <v>9</v>
      </c>
      <c r="B12" s="6">
        <v>1</v>
      </c>
      <c r="C12" s="17">
        <v>50</v>
      </c>
      <c r="D12" s="6" t="s">
        <v>19</v>
      </c>
      <c r="E12" s="6" t="s">
        <v>37</v>
      </c>
      <c r="F12" s="7" t="s">
        <v>17</v>
      </c>
    </row>
    <row r="13" spans="1:6" x14ac:dyDescent="0.3">
      <c r="A13" s="2" t="s">
        <v>10</v>
      </c>
      <c r="B13" s="6">
        <v>2</v>
      </c>
      <c r="C13" s="17">
        <f>43*B13</f>
        <v>86</v>
      </c>
      <c r="D13" s="6" t="s">
        <v>19</v>
      </c>
      <c r="E13" s="6" t="s">
        <v>24</v>
      </c>
      <c r="F13" s="7" t="s">
        <v>17</v>
      </c>
    </row>
    <row r="14" spans="1:6" x14ac:dyDescent="0.3">
      <c r="A14" s="2" t="s">
        <v>11</v>
      </c>
      <c r="B14" s="6">
        <v>1</v>
      </c>
      <c r="C14" s="17">
        <v>100</v>
      </c>
      <c r="D14" s="6" t="s">
        <v>19</v>
      </c>
      <c r="E14" s="6" t="s">
        <v>29</v>
      </c>
      <c r="F14" s="7" t="s">
        <v>17</v>
      </c>
    </row>
    <row r="15" spans="1:6" x14ac:dyDescent="0.3">
      <c r="A15" s="2" t="s">
        <v>12</v>
      </c>
      <c r="B15" s="6">
        <v>3</v>
      </c>
      <c r="C15" s="17">
        <f>26*B15</f>
        <v>78</v>
      </c>
      <c r="D15" s="6" t="s">
        <v>19</v>
      </c>
      <c r="E15" s="6" t="s">
        <v>30</v>
      </c>
      <c r="F15" s="7" t="s">
        <v>17</v>
      </c>
    </row>
    <row r="16" spans="1:6" x14ac:dyDescent="0.3">
      <c r="A16" s="2" t="s">
        <v>13</v>
      </c>
      <c r="B16" s="6">
        <v>1</v>
      </c>
      <c r="C16" s="17">
        <v>130</v>
      </c>
      <c r="D16" s="6" t="s">
        <v>25</v>
      </c>
      <c r="E16" s="19">
        <v>780314</v>
      </c>
      <c r="F16" s="7" t="s">
        <v>17</v>
      </c>
    </row>
    <row r="17" spans="1:6" x14ac:dyDescent="0.3">
      <c r="A17" s="28" t="s">
        <v>39</v>
      </c>
      <c r="B17" s="6">
        <v>1</v>
      </c>
      <c r="C17" s="17">
        <v>750</v>
      </c>
      <c r="D17" s="6" t="s">
        <v>19</v>
      </c>
      <c r="E17" s="6" t="s">
        <v>36</v>
      </c>
      <c r="F17" s="7" t="s">
        <v>17</v>
      </c>
    </row>
    <row r="18" spans="1:6" ht="15" thickBot="1" x14ac:dyDescent="0.35">
      <c r="A18" s="13" t="s">
        <v>38</v>
      </c>
      <c r="B18" s="14">
        <v>1</v>
      </c>
      <c r="C18" s="18">
        <v>200</v>
      </c>
      <c r="D18" s="14" t="s">
        <v>21</v>
      </c>
      <c r="E18" s="14" t="s">
        <v>26</v>
      </c>
      <c r="F18" s="15" t="s">
        <v>17</v>
      </c>
    </row>
    <row r="19" spans="1:6" ht="15" thickBot="1" x14ac:dyDescent="0.35">
      <c r="A19" s="3" t="s">
        <v>28</v>
      </c>
      <c r="B19" s="20">
        <f>SUM(B5:B18)</f>
        <v>22</v>
      </c>
      <c r="C19" s="21">
        <f>SUM(C5:C18)</f>
        <v>2895</v>
      </c>
      <c r="D19" s="8"/>
      <c r="E19" s="8"/>
      <c r="F19" s="9"/>
    </row>
    <row r="20" spans="1:6" ht="15" thickTop="1" x14ac:dyDescent="0.3"/>
  </sheetData>
  <mergeCells count="1">
    <mergeCell ref="A2:F3"/>
  </mergeCells>
  <hyperlinks>
    <hyperlink ref="F5" r:id="rId1" xr:uid="{1510DEDB-16EB-4074-A189-8AB050A0ED26}"/>
    <hyperlink ref="F6" r:id="rId2" xr:uid="{1E7ADBE9-C453-4E8C-87A0-1C5D53540A00}"/>
    <hyperlink ref="F7" r:id="rId3" xr:uid="{FDC287EE-A0E8-49BF-A834-32ED548635C3}"/>
    <hyperlink ref="F8" r:id="rId4" xr:uid="{DF0405F7-71DB-41F0-88EA-1EE77D628371}"/>
    <hyperlink ref="F9" r:id="rId5" xr:uid="{0931B53C-5BB3-42AE-81AE-CF13C827B62B}"/>
    <hyperlink ref="F13" r:id="rId6" xr:uid="{F8702304-BBFF-4759-8743-B2A6FFCE0D94}"/>
    <hyperlink ref="F10" r:id="rId7" xr:uid="{B0A14376-2E73-4BF6-B518-2516032E2519}"/>
    <hyperlink ref="F11" r:id="rId8" xr:uid="{581AC99B-2EE2-483A-883A-8A18DD4B0C35}"/>
    <hyperlink ref="F12" r:id="rId9" xr:uid="{40DABC48-F51B-4E3D-836F-7B609ECC4FEC}"/>
    <hyperlink ref="F14" r:id="rId10" xr:uid="{82283EEB-36AA-49A4-90CC-01EF62F410A5}"/>
    <hyperlink ref="F15" r:id="rId11" xr:uid="{75CC3473-E095-4580-A852-430398BFFF68}"/>
    <hyperlink ref="F16" r:id="rId12" xr:uid="{B0DA2523-5480-4955-8DEF-F1DBEF9EF8E3}"/>
    <hyperlink ref="F18" r:id="rId13" xr:uid="{DFACB934-1C8A-457D-88D5-6AB36E99B2BE}"/>
    <hyperlink ref="F17" r:id="rId14" xr:uid="{2878998A-CC2A-411E-8166-5EA69A100B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Rakoma</dc:creator>
  <cp:lastModifiedBy>M Rakoma</cp:lastModifiedBy>
  <dcterms:created xsi:type="dcterms:W3CDTF">2026-09-08T00:19:23Z</dcterms:created>
  <dcterms:modified xsi:type="dcterms:W3CDTF">2026-09-09T02:07:29Z</dcterms:modified>
</cp:coreProperties>
</file>